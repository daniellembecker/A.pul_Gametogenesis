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le/Downloads/"/>
    </mc:Choice>
  </mc:AlternateContent>
  <xr:revisionPtr revIDLastSave="0" documentId="13_ncr:1_{831A4C90-8FB7-9D46-9A90-C40C70C871F5}" xr6:coauthVersionLast="47" xr6:coauthVersionMax="47" xr10:uidLastSave="{00000000-0000-0000-0000-000000000000}"/>
  <bookViews>
    <workbookView xWindow="10120" yWindow="500" windowWidth="28800" windowHeight="16460" xr2:uid="{A7B810F6-D583-4F52-8F72-9BDA14CBD148}"/>
  </bookViews>
  <sheets>
    <sheet name="Becker Relocation" sheetId="2" r:id="rId1"/>
    <sheet name="compar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3" l="1"/>
  <c r="C13" i="3"/>
  <c r="C7" i="2"/>
  <c r="C12" i="2" s="1"/>
</calcChain>
</file>

<file path=xl/sharedStrings.xml><?xml version="1.0" encoding="utf-8"?>
<sst xmlns="http://schemas.openxmlformats.org/spreadsheetml/2006/main" count="34" uniqueCount="17">
  <si>
    <t>Becker Relocation Expense:</t>
  </si>
  <si>
    <t>Uhaul Truck</t>
  </si>
  <si>
    <t>Uhaul Trailer</t>
  </si>
  <si>
    <t>Mileage/Tolls</t>
  </si>
  <si>
    <t>Uhaul Mileage/Tolls</t>
  </si>
  <si>
    <t>Moving Company</t>
  </si>
  <si>
    <t>ER 51173</t>
  </si>
  <si>
    <t>(Need to verify eligibility for .67/mile on non-personal vehicle)</t>
  </si>
  <si>
    <t>Uhaul Tolls</t>
  </si>
  <si>
    <t>Uhaul Gas</t>
  </si>
  <si>
    <t>Personal Mileage/Tolls</t>
  </si>
  <si>
    <t>ER 51239</t>
  </si>
  <si>
    <t>Tolls (EZPASS: personal vehicle)</t>
  </si>
  <si>
    <t>Uhaul Tolls (from rental uhaul)</t>
  </si>
  <si>
    <t>REVISED</t>
  </si>
  <si>
    <t>Tolls only</t>
  </si>
  <si>
    <t>Gas 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</si>
</sst>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16" fontId="0" fillId="0" borderId="0" xfId="0" applyNumberFormat="1"/>
    <xf numFmtId="44" fontId="0" fillId="0" borderId="0" xfId="1" applyFont="1"/>
    <xf numFmtId="0" fontId="2" fillId="0" borderId="0" xfId="0" applyFont="1"/>
    <xf numFmtId="14" fontId="0" fillId="0" borderId="0" xfId="0" applyNumberFormat="1"/>
    <xf numFmtId="0" fontId="0" fillId="2" borderId="0" xfId="0" applyFill="1"/>
    <xf numFmtId="44" fontId="0" fillId="2" borderId="0" xfId="1" applyFont="1" applyFill="1"/>
    <xf numFmtId="14" fontId="0" fillId="2" borderId="0" xfId="0" applyNumberFormat="1" applyFill="1"/>
    <xf numFmtId="16" fontId="0" fillId="2" borderId="0" xfId="0" applyNumberFormat="1" applyFill="1"/>
    <xf numFmtId="0" fontId="0" fillId="3" borderId="0" xfId="0" applyFill="1"/>
    <xf numFmtId="44" fontId="0" fillId="3" borderId="0" xfId="1" applyFont="1" applyFill="1"/>
    <xf numFmtId="14" fontId="0" fillId="3" borderId="0" xfId="0" applyNumberFormat="1" applyFill="1"/>
    <xf numFmtId="0" fontId="0" fillId="4" borderId="0" xfId="0" applyFill="1"/>
    <xf numFmtId="44" fontId="0" fillId="4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D1D4-57AB-4218-9F5B-BA09A4188396}">
  <dimension ref="A1:E13"/>
  <sheetViews>
    <sheetView tabSelected="1" workbookViewId="0">
      <selection activeCell="F23" sqref="F23"/>
    </sheetView>
  </sheetViews>
  <sheetFormatPr baseColWidth="10" defaultColWidth="8.83203125" defaultRowHeight="15" x14ac:dyDescent="0.2"/>
  <cols>
    <col min="2" max="2" width="10.6640625" customWidth="1"/>
    <col min="3" max="3" width="10.5" style="2" bestFit="1" customWidth="1"/>
    <col min="4" max="4" width="10.5" style="4" bestFit="1" customWidth="1"/>
  </cols>
  <sheetData>
    <row r="1" spans="1:5" x14ac:dyDescent="0.2">
      <c r="A1" s="3" t="s">
        <v>0</v>
      </c>
    </row>
    <row r="2" spans="1:5" x14ac:dyDescent="0.2">
      <c r="A2" s="3" t="s">
        <v>11</v>
      </c>
    </row>
    <row r="3" spans="1:5" x14ac:dyDescent="0.2">
      <c r="A3" t="s">
        <v>5</v>
      </c>
      <c r="C3" s="2">
        <v>259.45</v>
      </c>
      <c r="D3" s="4">
        <v>45628</v>
      </c>
      <c r="E3" s="1"/>
    </row>
    <row r="4" spans="1:5" x14ac:dyDescent="0.2">
      <c r="A4" t="s">
        <v>1</v>
      </c>
      <c r="C4" s="2">
        <v>778.96</v>
      </c>
      <c r="D4" s="4">
        <v>45631</v>
      </c>
    </row>
    <row r="5" spans="1:5" x14ac:dyDescent="0.2">
      <c r="A5" t="s">
        <v>2</v>
      </c>
      <c r="C5" s="2">
        <v>117.7</v>
      </c>
      <c r="D5" s="4">
        <v>45631</v>
      </c>
    </row>
    <row r="6" spans="1:5" x14ac:dyDescent="0.2">
      <c r="A6" t="s">
        <v>10</v>
      </c>
      <c r="C6" s="2">
        <v>350.62</v>
      </c>
      <c r="D6" s="4">
        <v>45629</v>
      </c>
    </row>
    <row r="7" spans="1:5" x14ac:dyDescent="0.2">
      <c r="A7" t="s">
        <v>8</v>
      </c>
      <c r="C7" s="2">
        <f>54.31+13</f>
        <v>67.31</v>
      </c>
      <c r="D7" s="4">
        <v>45629</v>
      </c>
    </row>
    <row r="8" spans="1:5" x14ac:dyDescent="0.2">
      <c r="A8" t="s">
        <v>9</v>
      </c>
      <c r="C8" s="2">
        <v>241.11</v>
      </c>
      <c r="D8" s="4">
        <v>45629</v>
      </c>
    </row>
    <row r="9" spans="1:5" x14ac:dyDescent="0.2">
      <c r="A9" t="s">
        <v>2</v>
      </c>
      <c r="C9" s="2">
        <v>82.22</v>
      </c>
      <c r="D9" s="4">
        <v>45644</v>
      </c>
    </row>
    <row r="12" spans="1:5" x14ac:dyDescent="0.2">
      <c r="C12" s="2">
        <f>SUM(C3:C11)</f>
        <v>1897.3700000000001</v>
      </c>
    </row>
    <row r="13" spans="1:5" x14ac:dyDescent="0.2">
      <c r="A13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9048-E0D3-4A1E-BC0A-05BB24ACE5FC}">
  <dimension ref="A1:E28"/>
  <sheetViews>
    <sheetView workbookViewId="0">
      <selection activeCell="D33" sqref="D33"/>
    </sheetView>
  </sheetViews>
  <sheetFormatPr baseColWidth="10" defaultColWidth="8.83203125" defaultRowHeight="15" x14ac:dyDescent="0.2"/>
  <cols>
    <col min="1" max="1" width="29.5" customWidth="1"/>
    <col min="2" max="2" width="22.1640625" customWidth="1"/>
    <col min="3" max="3" width="10.5" style="2" bestFit="1" customWidth="1"/>
    <col min="4" max="4" width="10.5" style="4" bestFit="1" customWidth="1"/>
  </cols>
  <sheetData>
    <row r="1" spans="1:5" x14ac:dyDescent="0.2">
      <c r="A1" s="3" t="s">
        <v>0</v>
      </c>
    </row>
    <row r="2" spans="1:5" x14ac:dyDescent="0.2">
      <c r="A2" s="3" t="s">
        <v>6</v>
      </c>
    </row>
    <row r="3" spans="1:5" s="5" customFormat="1" x14ac:dyDescent="0.2">
      <c r="A3" s="5" t="s">
        <v>5</v>
      </c>
      <c r="C3" s="6">
        <v>259.45</v>
      </c>
      <c r="D3" s="7">
        <v>45628</v>
      </c>
      <c r="E3" s="8"/>
    </row>
    <row r="4" spans="1:5" s="5" customFormat="1" x14ac:dyDescent="0.2">
      <c r="A4" s="5" t="s">
        <v>1</v>
      </c>
      <c r="C4" s="6">
        <v>778.96</v>
      </c>
      <c r="D4" s="7">
        <v>45996</v>
      </c>
    </row>
    <row r="5" spans="1:5" s="5" customFormat="1" x14ac:dyDescent="0.2">
      <c r="A5" s="5" t="s">
        <v>2</v>
      </c>
      <c r="C5" s="6">
        <v>117.7</v>
      </c>
      <c r="D5" s="7">
        <v>45996</v>
      </c>
    </row>
    <row r="6" spans="1:5" s="5" customFormat="1" x14ac:dyDescent="0.2">
      <c r="A6" s="5" t="s">
        <v>3</v>
      </c>
      <c r="C6" s="6">
        <v>334.62</v>
      </c>
      <c r="D6" s="7"/>
    </row>
    <row r="7" spans="1:5" s="9" customFormat="1" x14ac:dyDescent="0.2">
      <c r="A7" s="9" t="s">
        <v>12</v>
      </c>
      <c r="C7" s="10">
        <v>54.48</v>
      </c>
      <c r="D7" s="11"/>
    </row>
    <row r="8" spans="1:5" s="5" customFormat="1" x14ac:dyDescent="0.2">
      <c r="A8" s="5" t="s">
        <v>4</v>
      </c>
      <c r="C8" s="6">
        <v>332.28</v>
      </c>
      <c r="D8" s="7" t="s">
        <v>7</v>
      </c>
    </row>
    <row r="9" spans="1:5" s="9" customFormat="1" x14ac:dyDescent="0.2">
      <c r="A9" s="9" t="s">
        <v>13</v>
      </c>
      <c r="C9" s="10">
        <v>67.31</v>
      </c>
      <c r="D9" s="11"/>
    </row>
    <row r="10" spans="1:5" s="5" customFormat="1" x14ac:dyDescent="0.2">
      <c r="A10" s="5" t="s">
        <v>2</v>
      </c>
      <c r="C10" s="6">
        <v>82.22</v>
      </c>
      <c r="D10" s="7">
        <v>45644</v>
      </c>
    </row>
    <row r="13" spans="1:5" x14ac:dyDescent="0.2">
      <c r="C13" s="2">
        <f>SUM(C3:C12)</f>
        <v>2027.02</v>
      </c>
    </row>
    <row r="16" spans="1:5" x14ac:dyDescent="0.2">
      <c r="A16" s="3" t="s">
        <v>0</v>
      </c>
      <c r="B16" t="s">
        <v>14</v>
      </c>
    </row>
    <row r="17" spans="1:5" x14ac:dyDescent="0.2">
      <c r="A17" s="3" t="s">
        <v>6</v>
      </c>
    </row>
    <row r="18" spans="1:5" s="5" customFormat="1" x14ac:dyDescent="0.2">
      <c r="A18" s="5" t="s">
        <v>5</v>
      </c>
      <c r="C18" s="6">
        <v>259.45</v>
      </c>
      <c r="D18" s="7">
        <v>45628</v>
      </c>
      <c r="E18" s="8"/>
    </row>
    <row r="19" spans="1:5" s="5" customFormat="1" x14ac:dyDescent="0.2">
      <c r="A19" s="5" t="s">
        <v>1</v>
      </c>
      <c r="C19" s="6">
        <v>778.96</v>
      </c>
      <c r="D19" s="7">
        <v>45996</v>
      </c>
    </row>
    <row r="20" spans="1:5" s="5" customFormat="1" x14ac:dyDescent="0.2">
      <c r="A20" s="5" t="s">
        <v>2</v>
      </c>
      <c r="C20" s="6">
        <v>117.7</v>
      </c>
      <c r="D20" s="7">
        <v>45996</v>
      </c>
    </row>
    <row r="21" spans="1:5" s="5" customFormat="1" x14ac:dyDescent="0.2">
      <c r="A21" s="12" t="s">
        <v>3</v>
      </c>
      <c r="B21" s="12"/>
      <c r="C21" s="13">
        <v>296.14</v>
      </c>
      <c r="D21" s="7"/>
    </row>
    <row r="22" spans="1:5" s="9" customFormat="1" x14ac:dyDescent="0.2">
      <c r="A22" s="9" t="s">
        <v>12</v>
      </c>
      <c r="C22" s="10">
        <v>54.48</v>
      </c>
      <c r="D22" s="11"/>
    </row>
    <row r="23" spans="1:5" s="5" customFormat="1" x14ac:dyDescent="0.2">
      <c r="A23" s="5" t="s">
        <v>4</v>
      </c>
      <c r="C23" s="6">
        <v>0</v>
      </c>
      <c r="D23" s="7" t="s">
        <v>15</v>
      </c>
    </row>
    <row r="24" spans="1:5" s="9" customFormat="1" x14ac:dyDescent="0.2">
      <c r="A24" s="9" t="s">
        <v>13</v>
      </c>
      <c r="C24" s="10">
        <v>67.31</v>
      </c>
      <c r="D24" s="11"/>
    </row>
    <row r="25" spans="1:5" s="5" customFormat="1" x14ac:dyDescent="0.2">
      <c r="A25" s="5" t="s">
        <v>2</v>
      </c>
      <c r="C25" s="6">
        <v>82.22</v>
      </c>
      <c r="D25" s="7">
        <v>45644</v>
      </c>
    </row>
    <row r="26" spans="1:5" s="5" customFormat="1" x14ac:dyDescent="0.2">
      <c r="A26" s="5" t="s">
        <v>1</v>
      </c>
      <c r="C26" s="6">
        <v>241.11</v>
      </c>
      <c r="D26" s="7" t="s">
        <v>16</v>
      </c>
    </row>
    <row r="28" spans="1:5" x14ac:dyDescent="0.2">
      <c r="C28" s="2">
        <f>SUM(C18:C27)</f>
        <v>1897.37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E9784123A5734B876F6F0DE8067369" ma:contentTypeVersion="14" ma:contentTypeDescription="Create a new document." ma:contentTypeScope="" ma:versionID="c9270ffffab3b1397ac76056be443b11">
  <xsd:schema xmlns:xsd="http://www.w3.org/2001/XMLSchema" xmlns:xs="http://www.w3.org/2001/XMLSchema" xmlns:p="http://schemas.microsoft.com/office/2006/metadata/properties" xmlns:ns2="e582ff8c-7e12-4315-9ddf-e76a824e0ca9" xmlns:ns3="474fd789-8aa8-4546-8e10-d1b4849fd263" targetNamespace="http://schemas.microsoft.com/office/2006/metadata/properties" ma:root="true" ma:fieldsID="7ffb9b8f0b57cff3067f861f1dddedd9" ns2:_="" ns3:_="">
    <xsd:import namespace="e582ff8c-7e12-4315-9ddf-e76a824e0ca9"/>
    <xsd:import namespace="474fd789-8aa8-4546-8e10-d1b4849fd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82ff8c-7e12-4315-9ddf-e76a824e0c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70ae3a2-658d-42e2-b2b1-e7748017a6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fd789-8aa8-4546-8e10-d1b4849fd26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982068a-abaf-4acd-92d0-018b32685c67}" ma:internalName="TaxCatchAll" ma:showField="CatchAllData" ma:web="474fd789-8aa8-4546-8e10-d1b4849fd2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82ff8c-7e12-4315-9ddf-e76a824e0ca9">
      <Terms xmlns="http://schemas.microsoft.com/office/infopath/2007/PartnerControls"/>
    </lcf76f155ced4ddcb4097134ff3c332f>
    <TaxCatchAll xmlns="474fd789-8aa8-4546-8e10-d1b4849fd263" xsi:nil="true"/>
  </documentManagement>
</p:properties>
</file>

<file path=customXml/itemProps1.xml><?xml version="1.0" encoding="utf-8"?>
<ds:datastoreItem xmlns:ds="http://schemas.openxmlformats.org/officeDocument/2006/customXml" ds:itemID="{38DD45B8-3A1C-4ACC-BABB-EF0C989014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2734AD-6D6D-40B8-9C10-73170BF9F3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82ff8c-7e12-4315-9ddf-e76a824e0ca9"/>
    <ds:schemaRef ds:uri="474fd789-8aa8-4546-8e10-d1b4849fd2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7C64AF-D226-4172-83E1-953E89C53568}">
  <ds:schemaRefs>
    <ds:schemaRef ds:uri="http://schemas.microsoft.com/office/2006/metadata/properties"/>
    <ds:schemaRef ds:uri="http://schemas.microsoft.com/office/infopath/2007/PartnerControls"/>
    <ds:schemaRef ds:uri="e582ff8c-7e12-4315-9ddf-e76a824e0ca9"/>
    <ds:schemaRef ds:uri="474fd789-8aa8-4546-8e10-d1b4849fd26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Becker Relocation</vt:lpstr>
      <vt:lpstr>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Prior</dc:creator>
  <cp:lastModifiedBy>Becker, Danielle M</cp:lastModifiedBy>
  <cp:lastPrinted>2025-01-07T15:18:47Z</cp:lastPrinted>
  <dcterms:created xsi:type="dcterms:W3CDTF">2024-12-23T18:01:29Z</dcterms:created>
  <dcterms:modified xsi:type="dcterms:W3CDTF">2025-01-14T15:20:48Z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0x0101009BE9784123A5734B876F6F0DE8067369</vt:lpwstr>
  </property>
  <property fmtid="{D5CDD505-2E9C-101B-9397-08002B2CF9AE}" pid="3" name="MediaServiceImageTags">
    <vt:lpwstr/>
  </property>
</Properties>
</file>